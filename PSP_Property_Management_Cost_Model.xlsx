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Monthly Projections" sheetId="2" state="visible" r:id="rId2"/>
    <sheet name="Annual Summary" sheetId="3" state="visible" r:id="rId3"/>
    <sheet name="Break-Even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;($#,##0);&quot;-&quot;"/>
    <numFmt numFmtId="165" formatCode="$#,##0.00;($#,##0.00);&quot;-&quot;"/>
    <numFmt numFmtId="166" formatCode="0.0%"/>
    <numFmt numFmtId="167" formatCode="0.0x"/>
  </numFmts>
  <fonts count="14">
    <font>
      <name val="Calibri"/>
      <family val="2"/>
      <color theme="1"/>
      <sz val="11"/>
      <scheme val="minor"/>
    </font>
    <font>
      <name val="Arial"/>
      <b val="1"/>
      <color rgb="001A3A5C"/>
      <sz val="14"/>
    </font>
    <font>
      <name val="Arial"/>
      <b val="1"/>
      <color rgb="001A3A5C"/>
      <sz val="12"/>
    </font>
    <font>
      <name val="Arial"/>
      <color rgb="00000000"/>
      <sz val="11"/>
    </font>
    <font>
      <name val="Arial"/>
      <color rgb="000000FF"/>
      <sz val="11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b val="1"/>
    </font>
    <font>
      <name val="Arial"/>
      <b val="1"/>
      <sz val="12"/>
    </font>
    <font>
      <name val="Arial"/>
      <color rgb="00008000"/>
      <sz val="11"/>
    </font>
    <font>
      <name val="Arial"/>
      <b val="1"/>
      <color rgb="00008000"/>
    </font>
    <font>
      <name val="Arial"/>
      <color rgb="00FF0000"/>
    </font>
    <font>
      <name val="Arial"/>
      <b val="1"/>
      <sz val="13"/>
    </font>
    <font>
      <name val="Arial"/>
      <b val="1"/>
      <color rgb="00008000"/>
      <sz val="13"/>
    </font>
  </fonts>
  <fills count="7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A3A5C"/>
      </patternFill>
    </fill>
    <fill>
      <patternFill patternType="solid">
        <fgColor rgb="00F2F2F2"/>
      </patternFill>
    </fill>
    <fill>
      <patternFill patternType="solid">
        <fgColor rgb="00C4A04D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4" fillId="2" borderId="0" pivotButton="0" quotePrefix="0" xfId="0"/>
    <xf numFmtId="0" fontId="5" fillId="0" borderId="0" pivotButton="0" quotePrefix="0" xfId="0"/>
    <xf numFmtId="3" fontId="4" fillId="0" borderId="0" pivotButton="0" quotePrefix="0" xfId="0"/>
    <xf numFmtId="164" fontId="4" fillId="2" borderId="0" pivotButton="0" quotePrefix="0" xfId="0"/>
    <xf numFmtId="3" fontId="3" fillId="0" borderId="0" pivotButton="0" quotePrefix="0" xfId="0"/>
    <xf numFmtId="0" fontId="6" fillId="3" borderId="1" applyAlignment="1" pivotButton="0" quotePrefix="0" xfId="0">
      <alignment horizontal="center" wrapText="1"/>
    </xf>
    <xf numFmtId="3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7" fillId="0" borderId="0" pivotButton="0" quotePrefix="0" xfId="0"/>
    <xf numFmtId="164" fontId="7" fillId="0" borderId="0" pivotButton="0" quotePrefix="0" xfId="0"/>
    <xf numFmtId="0" fontId="0" fillId="4" borderId="0" pivotButton="0" quotePrefix="0" xfId="0"/>
    <xf numFmtId="3" fontId="0" fillId="4" borderId="0" pivotButton="0" quotePrefix="0" xfId="0"/>
    <xf numFmtId="2" fontId="0" fillId="4" borderId="0" pivotButton="0" quotePrefix="0" xfId="0"/>
    <xf numFmtId="165" fontId="0" fillId="4" borderId="0" pivotButton="0" quotePrefix="0" xfId="0"/>
    <xf numFmtId="164" fontId="0" fillId="4" borderId="0" pivotButton="0" quotePrefix="0" xfId="0"/>
    <xf numFmtId="165" fontId="7" fillId="4" borderId="0" pivotButton="0" quotePrefix="0" xfId="0"/>
    <xf numFmtId="164" fontId="7" fillId="4" borderId="0" pivotButton="0" quotePrefix="0" xfId="0"/>
    <xf numFmtId="0" fontId="3" fillId="0" borderId="1" pivotButton="0" quotePrefix="0" xfId="0"/>
    <xf numFmtId="164" fontId="3" fillId="0" borderId="1" pivotButton="0" quotePrefix="0" xfId="0"/>
    <xf numFmtId="164" fontId="7" fillId="0" borderId="1" pivotButton="0" quotePrefix="0" xfId="0"/>
    <xf numFmtId="166" fontId="0" fillId="0" borderId="1" pivotButton="0" quotePrefix="0" xfId="0"/>
    <xf numFmtId="0" fontId="8" fillId="5" borderId="0" pivotButton="0" quotePrefix="0" xfId="0"/>
    <xf numFmtId="164" fontId="8" fillId="5" borderId="1" pivotButton="0" quotePrefix="0" xfId="0"/>
    <xf numFmtId="166" fontId="0" fillId="5" borderId="1" pivotButton="0" quotePrefix="0" xfId="0"/>
    <xf numFmtId="0" fontId="7" fillId="0" borderId="0" pivotButton="0" quotePrefix="0" xfId="0"/>
    <xf numFmtId="164" fontId="9" fillId="0" borderId="0" pivotButton="0" quotePrefix="0" xfId="0"/>
    <xf numFmtId="164" fontId="10" fillId="6" borderId="0" pivotButton="0" quotePrefix="0" xfId="0"/>
    <xf numFmtId="164" fontId="11" fillId="0" borderId="0" pivotButton="0" quotePrefix="0" xfId="0"/>
    <xf numFmtId="0" fontId="12" fillId="0" borderId="0" pivotButton="0" quotePrefix="0" xfId="0"/>
    <xf numFmtId="164" fontId="13" fillId="5" borderId="0" pivotButton="0" quotePrefix="0" xfId="0"/>
    <xf numFmtId="167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Annual Cost by Service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'Annual Summary'!B3</f>
            </strRef>
          </tx>
          <spPr>
            <a:ln>
              <a:prstDash val="solid"/>
            </a:ln>
          </spPr>
          <cat>
            <numRef>
              <f>'Annual Summary'!$A$4:$A$8</f>
            </numRef>
          </cat>
          <val>
            <numRef>
              <f>'Annual Summary'!$B$4:$B$8</f>
            </numRef>
          </val>
        </ser>
        <ser>
          <idx val="1"/>
          <order val="1"/>
          <tx>
            <strRef>
              <f>'Annual Summary'!C3</f>
            </strRef>
          </tx>
          <spPr>
            <a:ln>
              <a:prstDash val="solid"/>
            </a:ln>
          </spPr>
          <cat>
            <numRef>
              <f>'Annual Summary'!$A$4:$A$8</f>
            </numRef>
          </cat>
          <val>
            <numRef>
              <f>'Annual Summary'!$C$4:$C$8</f>
            </numRef>
          </val>
        </ser>
        <ser>
          <idx val="2"/>
          <order val="2"/>
          <tx>
            <strRef>
              <f>'Annual Summary'!D3</f>
            </strRef>
          </tx>
          <spPr>
            <a:ln>
              <a:prstDash val="solid"/>
            </a:ln>
          </spPr>
          <cat>
            <numRef>
              <f>'Annual Summary'!$A$4:$A$8</f>
            </numRef>
          </cat>
          <val>
            <numRef>
              <f>'Annual Summary'!$D$4:$D$8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50" customWidth="1" min="3" max="3"/>
  </cols>
  <sheetData>
    <row r="1">
      <c r="A1" s="1" t="inlineStr">
        <is>
          <t>PSP Property Management - Cost Model Assumptions</t>
        </is>
      </c>
    </row>
    <row r="3">
      <c r="A3" s="2" t="inlineStr">
        <is>
          <t>TICKET VOLUME</t>
        </is>
      </c>
    </row>
    <row r="4">
      <c r="A4" s="3" t="inlineStr">
        <is>
          <t>Tickets/week - Year 1 (beta + rollout)</t>
        </is>
      </c>
      <c r="B4" s="4" t="n">
        <v>30</v>
      </c>
      <c r="C4" s="5" t="inlineStr">
        <is>
          <t>Ramp from 1 store to 84</t>
        </is>
      </c>
    </row>
    <row r="5">
      <c r="A5" s="3" t="inlineStr">
        <is>
          <t>Tickets/week - Year 2 (full 84 stores)</t>
        </is>
      </c>
      <c r="B5" s="4" t="n">
        <v>60</v>
      </c>
      <c r="C5" s="5" t="inlineStr">
        <is>
          <t>All stores active</t>
        </is>
      </c>
    </row>
    <row r="6">
      <c r="A6" s="3" t="inlineStr">
        <is>
          <t>Tickets/week - Year 3 (100+ stores, new clients)</t>
        </is>
      </c>
      <c r="B6" s="4" t="n">
        <v>100</v>
      </c>
      <c r="C6" s="5" t="inlineStr">
        <is>
          <t>Growth from new clients</t>
        </is>
      </c>
    </row>
    <row r="7">
      <c r="A7" s="3" t="inlineStr">
        <is>
          <t>Photos per ticket (avg)</t>
        </is>
      </c>
      <c r="B7" s="6" t="n">
        <v>2</v>
      </c>
      <c r="C7" s="5" t="inlineStr">
        <is>
          <t>Compressed to ~350KB</t>
        </is>
      </c>
    </row>
    <row r="8">
      <c r="A8" s="3" t="inlineStr">
        <is>
          <t>Compressed photo size (KB)</t>
        </is>
      </c>
      <c r="B8" s="4" t="n">
        <v>350</v>
      </c>
      <c r="C8" s="5" t="inlineStr">
        <is>
          <t>After auto-compression</t>
        </is>
      </c>
    </row>
    <row r="10">
      <c r="A10" s="2" t="inlineStr">
        <is>
          <t>AI USAGE PER TICKET</t>
        </is>
      </c>
    </row>
    <row r="11">
      <c r="A11" s="3" t="inlineStr">
        <is>
          <t>Warranty lookup input tokens</t>
        </is>
      </c>
      <c r="B11" s="7" t="n">
        <v>2000</v>
      </c>
      <c r="C11" s="5" t="inlineStr">
        <is>
          <t>Claude Sonnet</t>
        </is>
      </c>
    </row>
    <row r="12">
      <c r="A12" s="3" t="inlineStr">
        <is>
          <t>Warranty lookup output tokens</t>
        </is>
      </c>
      <c r="B12" s="4" t="n">
        <v>500</v>
      </c>
    </row>
    <row r="13">
      <c r="A13" s="3" t="inlineStr">
        <is>
          <t>Cost estimation input tokens</t>
        </is>
      </c>
      <c r="B13" s="4" t="n">
        <v>500</v>
      </c>
      <c r="C13" s="5" t="inlineStr">
        <is>
          <t>Claude Sonnet</t>
        </is>
      </c>
    </row>
    <row r="14">
      <c r="A14" s="3" t="inlineStr">
        <is>
          <t>Cost estimation output tokens</t>
        </is>
      </c>
      <c r="B14" s="4" t="n">
        <v>200</v>
      </c>
    </row>
    <row r="15">
      <c r="A15" s="3" t="inlineStr">
        <is>
          <t>Tavily searches per ticket</t>
        </is>
      </c>
      <c r="B15" s="6" t="n">
        <v>3</v>
      </c>
      <c r="C15" s="5" t="inlineStr">
        <is>
          <t>Advanced = 2 credits each</t>
        </is>
      </c>
    </row>
    <row r="16">
      <c r="A16" s="3" t="inlineStr">
        <is>
          <t>Tavily credits per ticket</t>
        </is>
      </c>
      <c r="B16" s="6" t="n">
        <v>6</v>
      </c>
      <c r="C16" s="5" t="inlineStr">
        <is>
          <t>3 x 2 credits</t>
        </is>
      </c>
    </row>
    <row r="18">
      <c r="A18" s="2" t="inlineStr">
        <is>
          <t>SERVICE PRICING</t>
        </is>
      </c>
    </row>
    <row r="19">
      <c r="A19" s="3" t="inlineStr">
        <is>
          <t>Claude Sonnet input ($/M tokens)</t>
        </is>
      </c>
      <c r="B19" s="6" t="n">
        <v>3</v>
      </c>
      <c r="C19" s="5" t="inlineStr">
        <is>
          <t>anthropic.com/pricing</t>
        </is>
      </c>
    </row>
    <row r="20">
      <c r="A20" s="3" t="inlineStr">
        <is>
          <t>Claude Sonnet output ($/M tokens)</t>
        </is>
      </c>
      <c r="B20" s="6" t="n">
        <v>15</v>
      </c>
    </row>
    <row r="21">
      <c r="A21" s="3" t="inlineStr">
        <is>
          <t>Tavily free credits/month</t>
        </is>
      </c>
      <c r="B21" s="7" t="n">
        <v>1000</v>
      </c>
      <c r="C21" s="5" t="inlineStr">
        <is>
          <t>tavily.com/pricing</t>
        </is>
      </c>
    </row>
    <row r="22">
      <c r="A22" s="3" t="inlineStr">
        <is>
          <t>Tavily paid plan ($/month)</t>
        </is>
      </c>
      <c r="B22" s="4" t="n">
        <v>30</v>
      </c>
      <c r="C22" s="5" t="inlineStr">
        <is>
          <t>10K credits</t>
        </is>
      </c>
    </row>
    <row r="23">
      <c r="A23" s="3" t="inlineStr">
        <is>
          <t>Supabase Pro ($/month)</t>
        </is>
      </c>
      <c r="B23" s="4" t="n">
        <v>25</v>
      </c>
      <c r="C23" s="5" t="inlineStr">
        <is>
          <t>supabase.com/pricing</t>
        </is>
      </c>
    </row>
    <row r="24">
      <c r="A24" s="3" t="inlineStr">
        <is>
          <t>Supabase storage overage ($/GB)</t>
        </is>
      </c>
      <c r="B24" s="6" t="n">
        <v>0.021</v>
      </c>
    </row>
    <row r="25">
      <c r="A25" s="3" t="inlineStr">
        <is>
          <t>Streamlit Cloud ($/month)</t>
        </is>
      </c>
      <c r="B25" s="6" t="n">
        <v>0</v>
      </c>
      <c r="C25" s="5" t="inlineStr">
        <is>
          <t>Free tier</t>
        </is>
      </c>
    </row>
    <row r="26">
      <c r="A26" s="3" t="inlineStr">
        <is>
          <t>GitHub ($/month)</t>
        </is>
      </c>
      <c r="B26" s="6" t="n">
        <v>0</v>
      </c>
      <c r="C26" s="5" t="inlineStr">
        <is>
          <t>Free private repos</t>
        </is>
      </c>
    </row>
    <row r="28">
      <c r="A28" s="2" t="inlineStr">
        <is>
          <t>VALUE ASSUMPTIONS</t>
        </is>
      </c>
    </row>
    <row r="29">
      <c r="A29" s="3" t="inlineStr">
        <is>
          <t>Property manager salary</t>
        </is>
      </c>
      <c r="B29" s="7" t="n">
        <v>65000</v>
      </c>
    </row>
    <row r="30">
      <c r="A30" s="3" t="inlineStr">
        <is>
          <t>Time savings from app</t>
        </is>
      </c>
      <c r="B30" s="6" t="n">
        <v>0.5</v>
      </c>
      <c r="C30" s="5" t="inlineStr">
        <is>
          <t>50% of PM time freed up</t>
        </is>
      </c>
    </row>
    <row r="31">
      <c r="A31" s="3" t="inlineStr">
        <is>
          <t>Annual value of time saved</t>
        </is>
      </c>
      <c r="B31" s="8">
        <f>B29*B30</f>
        <v/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</cols>
  <sheetData>
    <row r="1">
      <c r="A1" s="9" t="inlineStr">
        <is>
          <t>Month</t>
        </is>
      </c>
      <c r="B1" s="9" t="inlineStr">
        <is>
          <t>Year</t>
        </is>
      </c>
      <c r="C1" s="9" t="inlineStr">
        <is>
          <t>Tickets/Wk</t>
        </is>
      </c>
      <c r="D1" s="9" t="inlineStr">
        <is>
          <t>Tickets/Mo</t>
        </is>
      </c>
      <c r="E1" s="9" t="inlineStr">
        <is>
          <t>Photos/Mo</t>
        </is>
      </c>
      <c r="F1" s="9" t="inlineStr">
        <is>
          <t>Storage Added (GB)</t>
        </is>
      </c>
      <c r="G1" s="9" t="inlineStr">
        <is>
          <t>Cumul Storage (GB)</t>
        </is>
      </c>
      <c r="H1" s="9" t="inlineStr">
        <is>
          <t>Claude Input Tok</t>
        </is>
      </c>
      <c r="I1" s="9" t="inlineStr">
        <is>
          <t>Claude Output Tok</t>
        </is>
      </c>
      <c r="J1" s="9" t="inlineStr">
        <is>
          <t>Claude Cost</t>
        </is>
      </c>
      <c r="K1" s="9" t="inlineStr">
        <is>
          <t>Tavily Credits</t>
        </is>
      </c>
      <c r="L1" s="9" t="inlineStr">
        <is>
          <t>Tavily Cost</t>
        </is>
      </c>
      <c r="M1" s="9" t="inlineStr">
        <is>
          <t>Supabase Cost</t>
        </is>
      </c>
      <c r="N1" s="9" t="inlineStr">
        <is>
          <t>Streamlit</t>
        </is>
      </c>
      <c r="O1" s="9" t="inlineStr">
        <is>
          <t>GitHub</t>
        </is>
      </c>
      <c r="P1" s="9" t="inlineStr">
        <is>
          <t>TOTAL MONTHLY</t>
        </is>
      </c>
      <c r="Q1" s="9" t="inlineStr">
        <is>
          <t>CUMULATIVE</t>
        </is>
      </c>
    </row>
    <row r="2">
      <c r="A2" t="n">
        <v>1</v>
      </c>
      <c r="B2" t="n">
        <v>1</v>
      </c>
      <c r="C2" t="n">
        <v>30</v>
      </c>
      <c r="D2" s="10">
        <f>C2*4.33</f>
        <v/>
      </c>
      <c r="E2" s="10">
        <f>D2*2</f>
        <v/>
      </c>
      <c r="F2" s="11">
        <f>E2*350/1024/1024</f>
        <v/>
      </c>
      <c r="G2" s="11">
        <f>F2</f>
        <v/>
      </c>
      <c r="H2" s="10">
        <f>D2*(2000+500)</f>
        <v/>
      </c>
      <c r="I2" s="10">
        <f>D2*(500+200)</f>
        <v/>
      </c>
      <c r="J2" s="12">
        <f>(H2/1000000*3)+(I2/1000000*15)</f>
        <v/>
      </c>
      <c r="K2" s="10">
        <f>D2*6</f>
        <v/>
      </c>
      <c r="L2" s="13">
        <f>IF(K2&lt;=1000,0,30)</f>
        <v/>
      </c>
      <c r="M2" s="13">
        <f>IF(G2&lt;1,0,25)</f>
        <v/>
      </c>
      <c r="N2" s="13" t="n">
        <v>0</v>
      </c>
      <c r="O2" s="13" t="n">
        <v>0</v>
      </c>
      <c r="P2" s="14">
        <f>J2+L2+M2+N2+O2</f>
        <v/>
      </c>
      <c r="Q2" s="15">
        <f>P2</f>
        <v/>
      </c>
    </row>
    <row r="3">
      <c r="A3" s="16" t="n">
        <v>2</v>
      </c>
      <c r="B3" s="16" t="n">
        <v>1</v>
      </c>
      <c r="C3" s="16" t="n">
        <v>30</v>
      </c>
      <c r="D3" s="17">
        <f>C3*4.33</f>
        <v/>
      </c>
      <c r="E3" s="17">
        <f>D3*2</f>
        <v/>
      </c>
      <c r="F3" s="18">
        <f>E3*350/1024/1024</f>
        <v/>
      </c>
      <c r="G3" s="18">
        <f>G2+F3</f>
        <v/>
      </c>
      <c r="H3" s="17">
        <f>D3*(2000+500)</f>
        <v/>
      </c>
      <c r="I3" s="17">
        <f>D3*(500+200)</f>
        <v/>
      </c>
      <c r="J3" s="19">
        <f>(H3/1000000*3)+(I3/1000000*15)</f>
        <v/>
      </c>
      <c r="K3" s="17">
        <f>D3*6</f>
        <v/>
      </c>
      <c r="L3" s="20">
        <f>IF(K3&lt;=1000,0,30)</f>
        <v/>
      </c>
      <c r="M3" s="20">
        <f>IF(G3&lt;1,0,25)</f>
        <v/>
      </c>
      <c r="N3" s="20" t="n">
        <v>0</v>
      </c>
      <c r="O3" s="20" t="n">
        <v>0</v>
      </c>
      <c r="P3" s="21">
        <f>J3+L3+M3+N3+O3</f>
        <v/>
      </c>
      <c r="Q3" s="22">
        <f>Q2+P3</f>
        <v/>
      </c>
    </row>
    <row r="4">
      <c r="A4" t="n">
        <v>3</v>
      </c>
      <c r="B4" t="n">
        <v>1</v>
      </c>
      <c r="C4" t="n">
        <v>30</v>
      </c>
      <c r="D4" s="10">
        <f>C4*4.33</f>
        <v/>
      </c>
      <c r="E4" s="10">
        <f>D4*2</f>
        <v/>
      </c>
      <c r="F4" s="11">
        <f>E4*350/1024/1024</f>
        <v/>
      </c>
      <c r="G4" s="11">
        <f>G3+F4</f>
        <v/>
      </c>
      <c r="H4" s="10">
        <f>D4*(2000+500)</f>
        <v/>
      </c>
      <c r="I4" s="10">
        <f>D4*(500+200)</f>
        <v/>
      </c>
      <c r="J4" s="12">
        <f>(H4/1000000*3)+(I4/1000000*15)</f>
        <v/>
      </c>
      <c r="K4" s="10">
        <f>D4*6</f>
        <v/>
      </c>
      <c r="L4" s="13">
        <f>IF(K4&lt;=1000,0,30)</f>
        <v/>
      </c>
      <c r="M4" s="13">
        <f>IF(G4&lt;1,0,25)</f>
        <v/>
      </c>
      <c r="N4" s="13" t="n">
        <v>0</v>
      </c>
      <c r="O4" s="13" t="n">
        <v>0</v>
      </c>
      <c r="P4" s="14">
        <f>J4+L4+M4+N4+O4</f>
        <v/>
      </c>
      <c r="Q4" s="15">
        <f>Q3+P4</f>
        <v/>
      </c>
    </row>
    <row r="5">
      <c r="A5" s="16" t="n">
        <v>4</v>
      </c>
      <c r="B5" s="16" t="n">
        <v>1</v>
      </c>
      <c r="C5" s="16" t="n">
        <v>30</v>
      </c>
      <c r="D5" s="17">
        <f>C5*4.33</f>
        <v/>
      </c>
      <c r="E5" s="17">
        <f>D5*2</f>
        <v/>
      </c>
      <c r="F5" s="18">
        <f>E5*350/1024/1024</f>
        <v/>
      </c>
      <c r="G5" s="18">
        <f>G4+F5</f>
        <v/>
      </c>
      <c r="H5" s="17">
        <f>D5*(2000+500)</f>
        <v/>
      </c>
      <c r="I5" s="17">
        <f>D5*(500+200)</f>
        <v/>
      </c>
      <c r="J5" s="19">
        <f>(H5/1000000*3)+(I5/1000000*15)</f>
        <v/>
      </c>
      <c r="K5" s="17">
        <f>D5*6</f>
        <v/>
      </c>
      <c r="L5" s="20">
        <f>IF(K5&lt;=1000,0,30)</f>
        <v/>
      </c>
      <c r="M5" s="20">
        <f>IF(G5&lt;1,0,25)</f>
        <v/>
      </c>
      <c r="N5" s="20" t="n">
        <v>0</v>
      </c>
      <c r="O5" s="20" t="n">
        <v>0</v>
      </c>
      <c r="P5" s="21">
        <f>J5+L5+M5+N5+O5</f>
        <v/>
      </c>
      <c r="Q5" s="22">
        <f>Q4+P5</f>
        <v/>
      </c>
    </row>
    <row r="6">
      <c r="A6" t="n">
        <v>5</v>
      </c>
      <c r="B6" t="n">
        <v>1</v>
      </c>
      <c r="C6" t="n">
        <v>30</v>
      </c>
      <c r="D6" s="10">
        <f>C6*4.33</f>
        <v/>
      </c>
      <c r="E6" s="10">
        <f>D6*2</f>
        <v/>
      </c>
      <c r="F6" s="11">
        <f>E6*350/1024/1024</f>
        <v/>
      </c>
      <c r="G6" s="11">
        <f>G5+F6</f>
        <v/>
      </c>
      <c r="H6" s="10">
        <f>D6*(2000+500)</f>
        <v/>
      </c>
      <c r="I6" s="10">
        <f>D6*(500+200)</f>
        <v/>
      </c>
      <c r="J6" s="12">
        <f>(H6/1000000*3)+(I6/1000000*15)</f>
        <v/>
      </c>
      <c r="K6" s="10">
        <f>D6*6</f>
        <v/>
      </c>
      <c r="L6" s="13">
        <f>IF(K6&lt;=1000,0,30)</f>
        <v/>
      </c>
      <c r="M6" s="13">
        <f>IF(G6&lt;1,0,25)</f>
        <v/>
      </c>
      <c r="N6" s="13" t="n">
        <v>0</v>
      </c>
      <c r="O6" s="13" t="n">
        <v>0</v>
      </c>
      <c r="P6" s="14">
        <f>J6+L6+M6+N6+O6</f>
        <v/>
      </c>
      <c r="Q6" s="15">
        <f>Q5+P6</f>
        <v/>
      </c>
    </row>
    <row r="7">
      <c r="A7" s="16" t="n">
        <v>6</v>
      </c>
      <c r="B7" s="16" t="n">
        <v>1</v>
      </c>
      <c r="C7" s="16" t="n">
        <v>30</v>
      </c>
      <c r="D7" s="17">
        <f>C7*4.33</f>
        <v/>
      </c>
      <c r="E7" s="17">
        <f>D7*2</f>
        <v/>
      </c>
      <c r="F7" s="18">
        <f>E7*350/1024/1024</f>
        <v/>
      </c>
      <c r="G7" s="18">
        <f>G6+F7</f>
        <v/>
      </c>
      <c r="H7" s="17">
        <f>D7*(2000+500)</f>
        <v/>
      </c>
      <c r="I7" s="17">
        <f>D7*(500+200)</f>
        <v/>
      </c>
      <c r="J7" s="19">
        <f>(H7/1000000*3)+(I7/1000000*15)</f>
        <v/>
      </c>
      <c r="K7" s="17">
        <f>D7*6</f>
        <v/>
      </c>
      <c r="L7" s="20">
        <f>IF(K7&lt;=1000,0,30)</f>
        <v/>
      </c>
      <c r="M7" s="20">
        <f>IF(G7&lt;1,0,25)</f>
        <v/>
      </c>
      <c r="N7" s="20" t="n">
        <v>0</v>
      </c>
      <c r="O7" s="20" t="n">
        <v>0</v>
      </c>
      <c r="P7" s="21">
        <f>J7+L7+M7+N7+O7</f>
        <v/>
      </c>
      <c r="Q7" s="22">
        <f>Q6+P7</f>
        <v/>
      </c>
    </row>
    <row r="8">
      <c r="A8" t="n">
        <v>7</v>
      </c>
      <c r="B8" t="n">
        <v>1</v>
      </c>
      <c r="C8" t="n">
        <v>30</v>
      </c>
      <c r="D8" s="10">
        <f>C8*4.33</f>
        <v/>
      </c>
      <c r="E8" s="10">
        <f>D8*2</f>
        <v/>
      </c>
      <c r="F8" s="11">
        <f>E8*350/1024/1024</f>
        <v/>
      </c>
      <c r="G8" s="11">
        <f>G7+F8</f>
        <v/>
      </c>
      <c r="H8" s="10">
        <f>D8*(2000+500)</f>
        <v/>
      </c>
      <c r="I8" s="10">
        <f>D8*(500+200)</f>
        <v/>
      </c>
      <c r="J8" s="12">
        <f>(H8/1000000*3)+(I8/1000000*15)</f>
        <v/>
      </c>
      <c r="K8" s="10">
        <f>D8*6</f>
        <v/>
      </c>
      <c r="L8" s="13">
        <f>IF(K8&lt;=1000,0,30)</f>
        <v/>
      </c>
      <c r="M8" s="13">
        <f>IF(G8&lt;1,0,25)</f>
        <v/>
      </c>
      <c r="N8" s="13" t="n">
        <v>0</v>
      </c>
      <c r="O8" s="13" t="n">
        <v>0</v>
      </c>
      <c r="P8" s="14">
        <f>J8+L8+M8+N8+O8</f>
        <v/>
      </c>
      <c r="Q8" s="15">
        <f>Q7+P8</f>
        <v/>
      </c>
    </row>
    <row r="9">
      <c r="A9" s="16" t="n">
        <v>8</v>
      </c>
      <c r="B9" s="16" t="n">
        <v>1</v>
      </c>
      <c r="C9" s="16" t="n">
        <v>30</v>
      </c>
      <c r="D9" s="17">
        <f>C9*4.33</f>
        <v/>
      </c>
      <c r="E9" s="17">
        <f>D9*2</f>
        <v/>
      </c>
      <c r="F9" s="18">
        <f>E9*350/1024/1024</f>
        <v/>
      </c>
      <c r="G9" s="18">
        <f>G8+F9</f>
        <v/>
      </c>
      <c r="H9" s="17">
        <f>D9*(2000+500)</f>
        <v/>
      </c>
      <c r="I9" s="17">
        <f>D9*(500+200)</f>
        <v/>
      </c>
      <c r="J9" s="19">
        <f>(H9/1000000*3)+(I9/1000000*15)</f>
        <v/>
      </c>
      <c r="K9" s="17">
        <f>D9*6</f>
        <v/>
      </c>
      <c r="L9" s="20">
        <f>IF(K9&lt;=1000,0,30)</f>
        <v/>
      </c>
      <c r="M9" s="20">
        <f>IF(G9&lt;1,0,25)</f>
        <v/>
      </c>
      <c r="N9" s="20" t="n">
        <v>0</v>
      </c>
      <c r="O9" s="20" t="n">
        <v>0</v>
      </c>
      <c r="P9" s="21">
        <f>J9+L9+M9+N9+O9</f>
        <v/>
      </c>
      <c r="Q9" s="22">
        <f>Q8+P9</f>
        <v/>
      </c>
    </row>
    <row r="10">
      <c r="A10" t="n">
        <v>9</v>
      </c>
      <c r="B10" t="n">
        <v>1</v>
      </c>
      <c r="C10" t="n">
        <v>30</v>
      </c>
      <c r="D10" s="10">
        <f>C10*4.33</f>
        <v/>
      </c>
      <c r="E10" s="10">
        <f>D10*2</f>
        <v/>
      </c>
      <c r="F10" s="11">
        <f>E10*350/1024/1024</f>
        <v/>
      </c>
      <c r="G10" s="11">
        <f>G9+F10</f>
        <v/>
      </c>
      <c r="H10" s="10">
        <f>D10*(2000+500)</f>
        <v/>
      </c>
      <c r="I10" s="10">
        <f>D10*(500+200)</f>
        <v/>
      </c>
      <c r="J10" s="12">
        <f>(H10/1000000*3)+(I10/1000000*15)</f>
        <v/>
      </c>
      <c r="K10" s="10">
        <f>D10*6</f>
        <v/>
      </c>
      <c r="L10" s="13">
        <f>IF(K10&lt;=1000,0,30)</f>
        <v/>
      </c>
      <c r="M10" s="13">
        <f>IF(G10&lt;1,0,25)</f>
        <v/>
      </c>
      <c r="N10" s="13" t="n">
        <v>0</v>
      </c>
      <c r="O10" s="13" t="n">
        <v>0</v>
      </c>
      <c r="P10" s="14">
        <f>J10+L10+M10+N10+O10</f>
        <v/>
      </c>
      <c r="Q10" s="15">
        <f>Q9+P10</f>
        <v/>
      </c>
    </row>
    <row r="11">
      <c r="A11" s="16" t="n">
        <v>10</v>
      </c>
      <c r="B11" s="16" t="n">
        <v>1</v>
      </c>
      <c r="C11" s="16" t="n">
        <v>30</v>
      </c>
      <c r="D11" s="17">
        <f>C11*4.33</f>
        <v/>
      </c>
      <c r="E11" s="17">
        <f>D11*2</f>
        <v/>
      </c>
      <c r="F11" s="18">
        <f>E11*350/1024/1024</f>
        <v/>
      </c>
      <c r="G11" s="18">
        <f>G10+F11</f>
        <v/>
      </c>
      <c r="H11" s="17">
        <f>D11*(2000+500)</f>
        <v/>
      </c>
      <c r="I11" s="17">
        <f>D11*(500+200)</f>
        <v/>
      </c>
      <c r="J11" s="19">
        <f>(H11/1000000*3)+(I11/1000000*15)</f>
        <v/>
      </c>
      <c r="K11" s="17">
        <f>D11*6</f>
        <v/>
      </c>
      <c r="L11" s="20">
        <f>IF(K11&lt;=1000,0,30)</f>
        <v/>
      </c>
      <c r="M11" s="20">
        <f>IF(G11&lt;1,0,25)</f>
        <v/>
      </c>
      <c r="N11" s="20" t="n">
        <v>0</v>
      </c>
      <c r="O11" s="20" t="n">
        <v>0</v>
      </c>
      <c r="P11" s="21">
        <f>J11+L11+M11+N11+O11</f>
        <v/>
      </c>
      <c r="Q11" s="22">
        <f>Q10+P11</f>
        <v/>
      </c>
    </row>
    <row r="12">
      <c r="A12" t="n">
        <v>11</v>
      </c>
      <c r="B12" t="n">
        <v>1</v>
      </c>
      <c r="C12" t="n">
        <v>30</v>
      </c>
      <c r="D12" s="10">
        <f>C12*4.33</f>
        <v/>
      </c>
      <c r="E12" s="10">
        <f>D12*2</f>
        <v/>
      </c>
      <c r="F12" s="11">
        <f>E12*350/1024/1024</f>
        <v/>
      </c>
      <c r="G12" s="11">
        <f>G11+F12</f>
        <v/>
      </c>
      <c r="H12" s="10">
        <f>D12*(2000+500)</f>
        <v/>
      </c>
      <c r="I12" s="10">
        <f>D12*(500+200)</f>
        <v/>
      </c>
      <c r="J12" s="12">
        <f>(H12/1000000*3)+(I12/1000000*15)</f>
        <v/>
      </c>
      <c r="K12" s="10">
        <f>D12*6</f>
        <v/>
      </c>
      <c r="L12" s="13">
        <f>IF(K12&lt;=1000,0,30)</f>
        <v/>
      </c>
      <c r="M12" s="13">
        <f>IF(G12&lt;1,0,25)</f>
        <v/>
      </c>
      <c r="N12" s="13" t="n">
        <v>0</v>
      </c>
      <c r="O12" s="13" t="n">
        <v>0</v>
      </c>
      <c r="P12" s="14">
        <f>J12+L12+M12+N12+O12</f>
        <v/>
      </c>
      <c r="Q12" s="15">
        <f>Q11+P12</f>
        <v/>
      </c>
    </row>
    <row r="13">
      <c r="A13" s="16" t="n">
        <v>12</v>
      </c>
      <c r="B13" s="16" t="n">
        <v>1</v>
      </c>
      <c r="C13" s="16" t="n">
        <v>30</v>
      </c>
      <c r="D13" s="17">
        <f>C13*4.33</f>
        <v/>
      </c>
      <c r="E13" s="17">
        <f>D13*2</f>
        <v/>
      </c>
      <c r="F13" s="18">
        <f>E13*350/1024/1024</f>
        <v/>
      </c>
      <c r="G13" s="18">
        <f>G12+F13</f>
        <v/>
      </c>
      <c r="H13" s="17">
        <f>D13*(2000+500)</f>
        <v/>
      </c>
      <c r="I13" s="17">
        <f>D13*(500+200)</f>
        <v/>
      </c>
      <c r="J13" s="19">
        <f>(H13/1000000*3)+(I13/1000000*15)</f>
        <v/>
      </c>
      <c r="K13" s="17">
        <f>D13*6</f>
        <v/>
      </c>
      <c r="L13" s="20">
        <f>IF(K13&lt;=1000,0,30)</f>
        <v/>
      </c>
      <c r="M13" s="20">
        <f>IF(G13&lt;1,0,25)</f>
        <v/>
      </c>
      <c r="N13" s="20" t="n">
        <v>0</v>
      </c>
      <c r="O13" s="20" t="n">
        <v>0</v>
      </c>
      <c r="P13" s="21">
        <f>J13+L13+M13+N13+O13</f>
        <v/>
      </c>
      <c r="Q13" s="22">
        <f>Q12+P13</f>
        <v/>
      </c>
    </row>
    <row r="14">
      <c r="A14" t="n">
        <v>13</v>
      </c>
      <c r="B14" t="n">
        <v>2</v>
      </c>
      <c r="C14" t="n">
        <v>60</v>
      </c>
      <c r="D14" s="10">
        <f>C14*4.33</f>
        <v/>
      </c>
      <c r="E14" s="10">
        <f>D14*2</f>
        <v/>
      </c>
      <c r="F14" s="11">
        <f>E14*350/1024/1024</f>
        <v/>
      </c>
      <c r="G14" s="11">
        <f>G13+F14</f>
        <v/>
      </c>
      <c r="H14" s="10">
        <f>D14*(2000+500)</f>
        <v/>
      </c>
      <c r="I14" s="10">
        <f>D14*(500+200)</f>
        <v/>
      </c>
      <c r="J14" s="12">
        <f>(H14/1000000*3)+(I14/1000000*15)</f>
        <v/>
      </c>
      <c r="K14" s="10">
        <f>D14*6</f>
        <v/>
      </c>
      <c r="L14" s="13">
        <f>IF(K14&lt;=1000,0,30)</f>
        <v/>
      </c>
      <c r="M14" s="13">
        <f>IF(G14&lt;1,0,25)</f>
        <v/>
      </c>
      <c r="N14" s="13" t="n">
        <v>0</v>
      </c>
      <c r="O14" s="13" t="n">
        <v>0</v>
      </c>
      <c r="P14" s="14">
        <f>J14+L14+M14+N14+O14</f>
        <v/>
      </c>
      <c r="Q14" s="15">
        <f>Q13+P14</f>
        <v/>
      </c>
    </row>
    <row r="15">
      <c r="A15" s="16" t="n">
        <v>14</v>
      </c>
      <c r="B15" s="16" t="n">
        <v>2</v>
      </c>
      <c r="C15" s="16" t="n">
        <v>60</v>
      </c>
      <c r="D15" s="17">
        <f>C15*4.33</f>
        <v/>
      </c>
      <c r="E15" s="17">
        <f>D15*2</f>
        <v/>
      </c>
      <c r="F15" s="18">
        <f>E15*350/1024/1024</f>
        <v/>
      </c>
      <c r="G15" s="18">
        <f>G14+F15</f>
        <v/>
      </c>
      <c r="H15" s="17">
        <f>D15*(2000+500)</f>
        <v/>
      </c>
      <c r="I15" s="17">
        <f>D15*(500+200)</f>
        <v/>
      </c>
      <c r="J15" s="19">
        <f>(H15/1000000*3)+(I15/1000000*15)</f>
        <v/>
      </c>
      <c r="K15" s="17">
        <f>D15*6</f>
        <v/>
      </c>
      <c r="L15" s="20">
        <f>IF(K15&lt;=1000,0,30)</f>
        <v/>
      </c>
      <c r="M15" s="20">
        <f>IF(G15&lt;1,0,25)</f>
        <v/>
      </c>
      <c r="N15" s="20" t="n">
        <v>0</v>
      </c>
      <c r="O15" s="20" t="n">
        <v>0</v>
      </c>
      <c r="P15" s="21">
        <f>J15+L15+M15+N15+O15</f>
        <v/>
      </c>
      <c r="Q15" s="22">
        <f>Q14+P15</f>
        <v/>
      </c>
    </row>
    <row r="16">
      <c r="A16" t="n">
        <v>15</v>
      </c>
      <c r="B16" t="n">
        <v>2</v>
      </c>
      <c r="C16" t="n">
        <v>60</v>
      </c>
      <c r="D16" s="10">
        <f>C16*4.33</f>
        <v/>
      </c>
      <c r="E16" s="10">
        <f>D16*2</f>
        <v/>
      </c>
      <c r="F16" s="11">
        <f>E16*350/1024/1024</f>
        <v/>
      </c>
      <c r="G16" s="11">
        <f>G15+F16</f>
        <v/>
      </c>
      <c r="H16" s="10">
        <f>D16*(2000+500)</f>
        <v/>
      </c>
      <c r="I16" s="10">
        <f>D16*(500+200)</f>
        <v/>
      </c>
      <c r="J16" s="12">
        <f>(H16/1000000*3)+(I16/1000000*15)</f>
        <v/>
      </c>
      <c r="K16" s="10">
        <f>D16*6</f>
        <v/>
      </c>
      <c r="L16" s="13">
        <f>IF(K16&lt;=1000,0,30)</f>
        <v/>
      </c>
      <c r="M16" s="13">
        <f>IF(G16&lt;1,0,25)</f>
        <v/>
      </c>
      <c r="N16" s="13" t="n">
        <v>0</v>
      </c>
      <c r="O16" s="13" t="n">
        <v>0</v>
      </c>
      <c r="P16" s="14">
        <f>J16+L16+M16+N16+O16</f>
        <v/>
      </c>
      <c r="Q16" s="15">
        <f>Q15+P16</f>
        <v/>
      </c>
    </row>
    <row r="17">
      <c r="A17" s="16" t="n">
        <v>16</v>
      </c>
      <c r="B17" s="16" t="n">
        <v>2</v>
      </c>
      <c r="C17" s="16" t="n">
        <v>60</v>
      </c>
      <c r="D17" s="17">
        <f>C17*4.33</f>
        <v/>
      </c>
      <c r="E17" s="17">
        <f>D17*2</f>
        <v/>
      </c>
      <c r="F17" s="18">
        <f>E17*350/1024/1024</f>
        <v/>
      </c>
      <c r="G17" s="18">
        <f>G16+F17</f>
        <v/>
      </c>
      <c r="H17" s="17">
        <f>D17*(2000+500)</f>
        <v/>
      </c>
      <c r="I17" s="17">
        <f>D17*(500+200)</f>
        <v/>
      </c>
      <c r="J17" s="19">
        <f>(H17/1000000*3)+(I17/1000000*15)</f>
        <v/>
      </c>
      <c r="K17" s="17">
        <f>D17*6</f>
        <v/>
      </c>
      <c r="L17" s="20">
        <f>IF(K17&lt;=1000,0,30)</f>
        <v/>
      </c>
      <c r="M17" s="20">
        <f>IF(G17&lt;1,0,25)</f>
        <v/>
      </c>
      <c r="N17" s="20" t="n">
        <v>0</v>
      </c>
      <c r="O17" s="20" t="n">
        <v>0</v>
      </c>
      <c r="P17" s="21">
        <f>J17+L17+M17+N17+O17</f>
        <v/>
      </c>
      <c r="Q17" s="22">
        <f>Q16+P17</f>
        <v/>
      </c>
    </row>
    <row r="18">
      <c r="A18" t="n">
        <v>17</v>
      </c>
      <c r="B18" t="n">
        <v>2</v>
      </c>
      <c r="C18" t="n">
        <v>60</v>
      </c>
      <c r="D18" s="10">
        <f>C18*4.33</f>
        <v/>
      </c>
      <c r="E18" s="10">
        <f>D18*2</f>
        <v/>
      </c>
      <c r="F18" s="11">
        <f>E18*350/1024/1024</f>
        <v/>
      </c>
      <c r="G18" s="11">
        <f>G17+F18</f>
        <v/>
      </c>
      <c r="H18" s="10">
        <f>D18*(2000+500)</f>
        <v/>
      </c>
      <c r="I18" s="10">
        <f>D18*(500+200)</f>
        <v/>
      </c>
      <c r="J18" s="12">
        <f>(H18/1000000*3)+(I18/1000000*15)</f>
        <v/>
      </c>
      <c r="K18" s="10">
        <f>D18*6</f>
        <v/>
      </c>
      <c r="L18" s="13">
        <f>IF(K18&lt;=1000,0,30)</f>
        <v/>
      </c>
      <c r="M18" s="13">
        <f>IF(G18&lt;1,0,25)</f>
        <v/>
      </c>
      <c r="N18" s="13" t="n">
        <v>0</v>
      </c>
      <c r="O18" s="13" t="n">
        <v>0</v>
      </c>
      <c r="P18" s="14">
        <f>J18+L18+M18+N18+O18</f>
        <v/>
      </c>
      <c r="Q18" s="15">
        <f>Q17+P18</f>
        <v/>
      </c>
    </row>
    <row r="19">
      <c r="A19" s="16" t="n">
        <v>18</v>
      </c>
      <c r="B19" s="16" t="n">
        <v>2</v>
      </c>
      <c r="C19" s="16" t="n">
        <v>60</v>
      </c>
      <c r="D19" s="17">
        <f>C19*4.33</f>
        <v/>
      </c>
      <c r="E19" s="17">
        <f>D19*2</f>
        <v/>
      </c>
      <c r="F19" s="18">
        <f>E19*350/1024/1024</f>
        <v/>
      </c>
      <c r="G19" s="18">
        <f>G18+F19</f>
        <v/>
      </c>
      <c r="H19" s="17">
        <f>D19*(2000+500)</f>
        <v/>
      </c>
      <c r="I19" s="17">
        <f>D19*(500+200)</f>
        <v/>
      </c>
      <c r="J19" s="19">
        <f>(H19/1000000*3)+(I19/1000000*15)</f>
        <v/>
      </c>
      <c r="K19" s="17">
        <f>D19*6</f>
        <v/>
      </c>
      <c r="L19" s="20">
        <f>IF(K19&lt;=1000,0,30)</f>
        <v/>
      </c>
      <c r="M19" s="20">
        <f>IF(G19&lt;1,0,25)</f>
        <v/>
      </c>
      <c r="N19" s="20" t="n">
        <v>0</v>
      </c>
      <c r="O19" s="20" t="n">
        <v>0</v>
      </c>
      <c r="P19" s="21">
        <f>J19+L19+M19+N19+O19</f>
        <v/>
      </c>
      <c r="Q19" s="22">
        <f>Q18+P19</f>
        <v/>
      </c>
    </row>
    <row r="20">
      <c r="A20" t="n">
        <v>19</v>
      </c>
      <c r="B20" t="n">
        <v>2</v>
      </c>
      <c r="C20" t="n">
        <v>60</v>
      </c>
      <c r="D20" s="10">
        <f>C20*4.33</f>
        <v/>
      </c>
      <c r="E20" s="10">
        <f>D20*2</f>
        <v/>
      </c>
      <c r="F20" s="11">
        <f>E20*350/1024/1024</f>
        <v/>
      </c>
      <c r="G20" s="11">
        <f>G19+F20</f>
        <v/>
      </c>
      <c r="H20" s="10">
        <f>D20*(2000+500)</f>
        <v/>
      </c>
      <c r="I20" s="10">
        <f>D20*(500+200)</f>
        <v/>
      </c>
      <c r="J20" s="12">
        <f>(H20/1000000*3)+(I20/1000000*15)</f>
        <v/>
      </c>
      <c r="K20" s="10">
        <f>D20*6</f>
        <v/>
      </c>
      <c r="L20" s="13">
        <f>IF(K20&lt;=1000,0,30)</f>
        <v/>
      </c>
      <c r="M20" s="13">
        <f>IF(G20&lt;1,0,25)</f>
        <v/>
      </c>
      <c r="N20" s="13" t="n">
        <v>0</v>
      </c>
      <c r="O20" s="13" t="n">
        <v>0</v>
      </c>
      <c r="P20" s="14">
        <f>J20+L20+M20+N20+O20</f>
        <v/>
      </c>
      <c r="Q20" s="15">
        <f>Q19+P20</f>
        <v/>
      </c>
    </row>
    <row r="21">
      <c r="A21" s="16" t="n">
        <v>20</v>
      </c>
      <c r="B21" s="16" t="n">
        <v>2</v>
      </c>
      <c r="C21" s="16" t="n">
        <v>60</v>
      </c>
      <c r="D21" s="17">
        <f>C21*4.33</f>
        <v/>
      </c>
      <c r="E21" s="17">
        <f>D21*2</f>
        <v/>
      </c>
      <c r="F21" s="18">
        <f>E21*350/1024/1024</f>
        <v/>
      </c>
      <c r="G21" s="18">
        <f>G20+F21</f>
        <v/>
      </c>
      <c r="H21" s="17">
        <f>D21*(2000+500)</f>
        <v/>
      </c>
      <c r="I21" s="17">
        <f>D21*(500+200)</f>
        <v/>
      </c>
      <c r="J21" s="19">
        <f>(H21/1000000*3)+(I21/1000000*15)</f>
        <v/>
      </c>
      <c r="K21" s="17">
        <f>D21*6</f>
        <v/>
      </c>
      <c r="L21" s="20">
        <f>IF(K21&lt;=1000,0,30)</f>
        <v/>
      </c>
      <c r="M21" s="20">
        <f>IF(G21&lt;1,0,25)</f>
        <v/>
      </c>
      <c r="N21" s="20" t="n">
        <v>0</v>
      </c>
      <c r="O21" s="20" t="n">
        <v>0</v>
      </c>
      <c r="P21" s="21">
        <f>J21+L21+M21+N21+O21</f>
        <v/>
      </c>
      <c r="Q21" s="22">
        <f>Q20+P21</f>
        <v/>
      </c>
    </row>
    <row r="22">
      <c r="A22" t="n">
        <v>21</v>
      </c>
      <c r="B22" t="n">
        <v>2</v>
      </c>
      <c r="C22" t="n">
        <v>60</v>
      </c>
      <c r="D22" s="10">
        <f>C22*4.33</f>
        <v/>
      </c>
      <c r="E22" s="10">
        <f>D22*2</f>
        <v/>
      </c>
      <c r="F22" s="11">
        <f>E22*350/1024/1024</f>
        <v/>
      </c>
      <c r="G22" s="11">
        <f>G21+F22</f>
        <v/>
      </c>
      <c r="H22" s="10">
        <f>D22*(2000+500)</f>
        <v/>
      </c>
      <c r="I22" s="10">
        <f>D22*(500+200)</f>
        <v/>
      </c>
      <c r="J22" s="12">
        <f>(H22/1000000*3)+(I22/1000000*15)</f>
        <v/>
      </c>
      <c r="K22" s="10">
        <f>D22*6</f>
        <v/>
      </c>
      <c r="L22" s="13">
        <f>IF(K22&lt;=1000,0,30)</f>
        <v/>
      </c>
      <c r="M22" s="13">
        <f>IF(G22&lt;1,0,25)</f>
        <v/>
      </c>
      <c r="N22" s="13" t="n">
        <v>0</v>
      </c>
      <c r="O22" s="13" t="n">
        <v>0</v>
      </c>
      <c r="P22" s="14">
        <f>J22+L22+M22+N22+O22</f>
        <v/>
      </c>
      <c r="Q22" s="15">
        <f>Q21+P22</f>
        <v/>
      </c>
    </row>
    <row r="23">
      <c r="A23" s="16" t="n">
        <v>22</v>
      </c>
      <c r="B23" s="16" t="n">
        <v>2</v>
      </c>
      <c r="C23" s="16" t="n">
        <v>60</v>
      </c>
      <c r="D23" s="17">
        <f>C23*4.33</f>
        <v/>
      </c>
      <c r="E23" s="17">
        <f>D23*2</f>
        <v/>
      </c>
      <c r="F23" s="18">
        <f>E23*350/1024/1024</f>
        <v/>
      </c>
      <c r="G23" s="18">
        <f>G22+F23</f>
        <v/>
      </c>
      <c r="H23" s="17">
        <f>D23*(2000+500)</f>
        <v/>
      </c>
      <c r="I23" s="17">
        <f>D23*(500+200)</f>
        <v/>
      </c>
      <c r="J23" s="19">
        <f>(H23/1000000*3)+(I23/1000000*15)</f>
        <v/>
      </c>
      <c r="K23" s="17">
        <f>D23*6</f>
        <v/>
      </c>
      <c r="L23" s="20">
        <f>IF(K23&lt;=1000,0,30)</f>
        <v/>
      </c>
      <c r="M23" s="20">
        <f>IF(G23&lt;1,0,25)</f>
        <v/>
      </c>
      <c r="N23" s="20" t="n">
        <v>0</v>
      </c>
      <c r="O23" s="20" t="n">
        <v>0</v>
      </c>
      <c r="P23" s="21">
        <f>J23+L23+M23+N23+O23</f>
        <v/>
      </c>
      <c r="Q23" s="22">
        <f>Q22+P23</f>
        <v/>
      </c>
    </row>
    <row r="24">
      <c r="A24" t="n">
        <v>23</v>
      </c>
      <c r="B24" t="n">
        <v>2</v>
      </c>
      <c r="C24" t="n">
        <v>60</v>
      </c>
      <c r="D24" s="10">
        <f>C24*4.33</f>
        <v/>
      </c>
      <c r="E24" s="10">
        <f>D24*2</f>
        <v/>
      </c>
      <c r="F24" s="11">
        <f>E24*350/1024/1024</f>
        <v/>
      </c>
      <c r="G24" s="11">
        <f>G23+F24</f>
        <v/>
      </c>
      <c r="H24" s="10">
        <f>D24*(2000+500)</f>
        <v/>
      </c>
      <c r="I24" s="10">
        <f>D24*(500+200)</f>
        <v/>
      </c>
      <c r="J24" s="12">
        <f>(H24/1000000*3)+(I24/1000000*15)</f>
        <v/>
      </c>
      <c r="K24" s="10">
        <f>D24*6</f>
        <v/>
      </c>
      <c r="L24" s="13">
        <f>IF(K24&lt;=1000,0,30)</f>
        <v/>
      </c>
      <c r="M24" s="13">
        <f>IF(G24&lt;1,0,25)</f>
        <v/>
      </c>
      <c r="N24" s="13" t="n">
        <v>0</v>
      </c>
      <c r="O24" s="13" t="n">
        <v>0</v>
      </c>
      <c r="P24" s="14">
        <f>J24+L24+M24+N24+O24</f>
        <v/>
      </c>
      <c r="Q24" s="15">
        <f>Q23+P24</f>
        <v/>
      </c>
    </row>
    <row r="25">
      <c r="A25" s="16" t="n">
        <v>24</v>
      </c>
      <c r="B25" s="16" t="n">
        <v>2</v>
      </c>
      <c r="C25" s="16" t="n">
        <v>60</v>
      </c>
      <c r="D25" s="17">
        <f>C25*4.33</f>
        <v/>
      </c>
      <c r="E25" s="17">
        <f>D25*2</f>
        <v/>
      </c>
      <c r="F25" s="18">
        <f>E25*350/1024/1024</f>
        <v/>
      </c>
      <c r="G25" s="18">
        <f>G24+F25</f>
        <v/>
      </c>
      <c r="H25" s="17">
        <f>D25*(2000+500)</f>
        <v/>
      </c>
      <c r="I25" s="17">
        <f>D25*(500+200)</f>
        <v/>
      </c>
      <c r="J25" s="19">
        <f>(H25/1000000*3)+(I25/1000000*15)</f>
        <v/>
      </c>
      <c r="K25" s="17">
        <f>D25*6</f>
        <v/>
      </c>
      <c r="L25" s="20">
        <f>IF(K25&lt;=1000,0,30)</f>
        <v/>
      </c>
      <c r="M25" s="20">
        <f>IF(G25&lt;1,0,25)</f>
        <v/>
      </c>
      <c r="N25" s="20" t="n">
        <v>0</v>
      </c>
      <c r="O25" s="20" t="n">
        <v>0</v>
      </c>
      <c r="P25" s="21">
        <f>J25+L25+M25+N25+O25</f>
        <v/>
      </c>
      <c r="Q25" s="22">
        <f>Q24+P25</f>
        <v/>
      </c>
    </row>
    <row r="26">
      <c r="A26" t="n">
        <v>25</v>
      </c>
      <c r="B26" t="n">
        <v>3</v>
      </c>
      <c r="C26" t="n">
        <v>100</v>
      </c>
      <c r="D26" s="10">
        <f>C26*4.33</f>
        <v/>
      </c>
      <c r="E26" s="10">
        <f>D26*2</f>
        <v/>
      </c>
      <c r="F26" s="11">
        <f>E26*350/1024/1024</f>
        <v/>
      </c>
      <c r="G26" s="11">
        <f>G25+F26</f>
        <v/>
      </c>
      <c r="H26" s="10">
        <f>D26*(2000+500)</f>
        <v/>
      </c>
      <c r="I26" s="10">
        <f>D26*(500+200)</f>
        <v/>
      </c>
      <c r="J26" s="12">
        <f>(H26/1000000*3)+(I26/1000000*15)</f>
        <v/>
      </c>
      <c r="K26" s="10">
        <f>D26*6</f>
        <v/>
      </c>
      <c r="L26" s="13">
        <f>IF(K26&lt;=1000,0,30)</f>
        <v/>
      </c>
      <c r="M26" s="13">
        <f>IF(G26&lt;1,0,25)</f>
        <v/>
      </c>
      <c r="N26" s="13" t="n">
        <v>0</v>
      </c>
      <c r="O26" s="13" t="n">
        <v>0</v>
      </c>
      <c r="P26" s="14">
        <f>J26+L26+M26+N26+O26</f>
        <v/>
      </c>
      <c r="Q26" s="15">
        <f>Q25+P26</f>
        <v/>
      </c>
    </row>
    <row r="27">
      <c r="A27" s="16" t="n">
        <v>26</v>
      </c>
      <c r="B27" s="16" t="n">
        <v>3</v>
      </c>
      <c r="C27" s="16" t="n">
        <v>100</v>
      </c>
      <c r="D27" s="17">
        <f>C27*4.33</f>
        <v/>
      </c>
      <c r="E27" s="17">
        <f>D27*2</f>
        <v/>
      </c>
      <c r="F27" s="18">
        <f>E27*350/1024/1024</f>
        <v/>
      </c>
      <c r="G27" s="18">
        <f>G26+F27</f>
        <v/>
      </c>
      <c r="H27" s="17">
        <f>D27*(2000+500)</f>
        <v/>
      </c>
      <c r="I27" s="17">
        <f>D27*(500+200)</f>
        <v/>
      </c>
      <c r="J27" s="19">
        <f>(H27/1000000*3)+(I27/1000000*15)</f>
        <v/>
      </c>
      <c r="K27" s="17">
        <f>D27*6</f>
        <v/>
      </c>
      <c r="L27" s="20">
        <f>IF(K27&lt;=1000,0,30)</f>
        <v/>
      </c>
      <c r="M27" s="20">
        <f>IF(G27&lt;1,0,25)</f>
        <v/>
      </c>
      <c r="N27" s="20" t="n">
        <v>0</v>
      </c>
      <c r="O27" s="20" t="n">
        <v>0</v>
      </c>
      <c r="P27" s="21">
        <f>J27+L27+M27+N27+O27</f>
        <v/>
      </c>
      <c r="Q27" s="22">
        <f>Q26+P27</f>
        <v/>
      </c>
    </row>
    <row r="28">
      <c r="A28" t="n">
        <v>27</v>
      </c>
      <c r="B28" t="n">
        <v>3</v>
      </c>
      <c r="C28" t="n">
        <v>100</v>
      </c>
      <c r="D28" s="10">
        <f>C28*4.33</f>
        <v/>
      </c>
      <c r="E28" s="10">
        <f>D28*2</f>
        <v/>
      </c>
      <c r="F28" s="11">
        <f>E28*350/1024/1024</f>
        <v/>
      </c>
      <c r="G28" s="11">
        <f>G27+F28</f>
        <v/>
      </c>
      <c r="H28" s="10">
        <f>D28*(2000+500)</f>
        <v/>
      </c>
      <c r="I28" s="10">
        <f>D28*(500+200)</f>
        <v/>
      </c>
      <c r="J28" s="12">
        <f>(H28/1000000*3)+(I28/1000000*15)</f>
        <v/>
      </c>
      <c r="K28" s="10">
        <f>D28*6</f>
        <v/>
      </c>
      <c r="L28" s="13">
        <f>IF(K28&lt;=1000,0,30)</f>
        <v/>
      </c>
      <c r="M28" s="13">
        <f>IF(G28&lt;1,0,25)</f>
        <v/>
      </c>
      <c r="N28" s="13" t="n">
        <v>0</v>
      </c>
      <c r="O28" s="13" t="n">
        <v>0</v>
      </c>
      <c r="P28" s="14">
        <f>J28+L28+M28+N28+O28</f>
        <v/>
      </c>
      <c r="Q28" s="15">
        <f>Q27+P28</f>
        <v/>
      </c>
    </row>
    <row r="29">
      <c r="A29" s="16" t="n">
        <v>28</v>
      </c>
      <c r="B29" s="16" t="n">
        <v>3</v>
      </c>
      <c r="C29" s="16" t="n">
        <v>100</v>
      </c>
      <c r="D29" s="17">
        <f>C29*4.33</f>
        <v/>
      </c>
      <c r="E29" s="17">
        <f>D29*2</f>
        <v/>
      </c>
      <c r="F29" s="18">
        <f>E29*350/1024/1024</f>
        <v/>
      </c>
      <c r="G29" s="18">
        <f>G28+F29</f>
        <v/>
      </c>
      <c r="H29" s="17">
        <f>D29*(2000+500)</f>
        <v/>
      </c>
      <c r="I29" s="17">
        <f>D29*(500+200)</f>
        <v/>
      </c>
      <c r="J29" s="19">
        <f>(H29/1000000*3)+(I29/1000000*15)</f>
        <v/>
      </c>
      <c r="K29" s="17">
        <f>D29*6</f>
        <v/>
      </c>
      <c r="L29" s="20">
        <f>IF(K29&lt;=1000,0,30)</f>
        <v/>
      </c>
      <c r="M29" s="20">
        <f>IF(G29&lt;1,0,25)</f>
        <v/>
      </c>
      <c r="N29" s="20" t="n">
        <v>0</v>
      </c>
      <c r="O29" s="20" t="n">
        <v>0</v>
      </c>
      <c r="P29" s="21">
        <f>J29+L29+M29+N29+O29</f>
        <v/>
      </c>
      <c r="Q29" s="22">
        <f>Q28+P29</f>
        <v/>
      </c>
    </row>
    <row r="30">
      <c r="A30" t="n">
        <v>29</v>
      </c>
      <c r="B30" t="n">
        <v>3</v>
      </c>
      <c r="C30" t="n">
        <v>100</v>
      </c>
      <c r="D30" s="10">
        <f>C30*4.33</f>
        <v/>
      </c>
      <c r="E30" s="10">
        <f>D30*2</f>
        <v/>
      </c>
      <c r="F30" s="11">
        <f>E30*350/1024/1024</f>
        <v/>
      </c>
      <c r="G30" s="11">
        <f>G29+F30</f>
        <v/>
      </c>
      <c r="H30" s="10">
        <f>D30*(2000+500)</f>
        <v/>
      </c>
      <c r="I30" s="10">
        <f>D30*(500+200)</f>
        <v/>
      </c>
      <c r="J30" s="12">
        <f>(H30/1000000*3)+(I30/1000000*15)</f>
        <v/>
      </c>
      <c r="K30" s="10">
        <f>D30*6</f>
        <v/>
      </c>
      <c r="L30" s="13">
        <f>IF(K30&lt;=1000,0,30)</f>
        <v/>
      </c>
      <c r="M30" s="13">
        <f>IF(G30&lt;1,0,25)</f>
        <v/>
      </c>
      <c r="N30" s="13" t="n">
        <v>0</v>
      </c>
      <c r="O30" s="13" t="n">
        <v>0</v>
      </c>
      <c r="P30" s="14">
        <f>J30+L30+M30+N30+O30</f>
        <v/>
      </c>
      <c r="Q30" s="15">
        <f>Q29+P30</f>
        <v/>
      </c>
    </row>
    <row r="31">
      <c r="A31" s="16" t="n">
        <v>30</v>
      </c>
      <c r="B31" s="16" t="n">
        <v>3</v>
      </c>
      <c r="C31" s="16" t="n">
        <v>100</v>
      </c>
      <c r="D31" s="17">
        <f>C31*4.33</f>
        <v/>
      </c>
      <c r="E31" s="17">
        <f>D31*2</f>
        <v/>
      </c>
      <c r="F31" s="18">
        <f>E31*350/1024/1024</f>
        <v/>
      </c>
      <c r="G31" s="18">
        <f>G30+F31</f>
        <v/>
      </c>
      <c r="H31" s="17">
        <f>D31*(2000+500)</f>
        <v/>
      </c>
      <c r="I31" s="17">
        <f>D31*(500+200)</f>
        <v/>
      </c>
      <c r="J31" s="19">
        <f>(H31/1000000*3)+(I31/1000000*15)</f>
        <v/>
      </c>
      <c r="K31" s="17">
        <f>D31*6</f>
        <v/>
      </c>
      <c r="L31" s="20">
        <f>IF(K31&lt;=1000,0,30)</f>
        <v/>
      </c>
      <c r="M31" s="20">
        <f>IF(G31&lt;1,0,25)</f>
        <v/>
      </c>
      <c r="N31" s="20" t="n">
        <v>0</v>
      </c>
      <c r="O31" s="20" t="n">
        <v>0</v>
      </c>
      <c r="P31" s="21">
        <f>J31+L31+M31+N31+O31</f>
        <v/>
      </c>
      <c r="Q31" s="22">
        <f>Q30+P31</f>
        <v/>
      </c>
    </row>
    <row r="32">
      <c r="A32" t="n">
        <v>31</v>
      </c>
      <c r="B32" t="n">
        <v>3</v>
      </c>
      <c r="C32" t="n">
        <v>100</v>
      </c>
      <c r="D32" s="10">
        <f>C32*4.33</f>
        <v/>
      </c>
      <c r="E32" s="10">
        <f>D32*2</f>
        <v/>
      </c>
      <c r="F32" s="11">
        <f>E32*350/1024/1024</f>
        <v/>
      </c>
      <c r="G32" s="11">
        <f>G31+F32</f>
        <v/>
      </c>
      <c r="H32" s="10">
        <f>D32*(2000+500)</f>
        <v/>
      </c>
      <c r="I32" s="10">
        <f>D32*(500+200)</f>
        <v/>
      </c>
      <c r="J32" s="12">
        <f>(H32/1000000*3)+(I32/1000000*15)</f>
        <v/>
      </c>
      <c r="K32" s="10">
        <f>D32*6</f>
        <v/>
      </c>
      <c r="L32" s="13">
        <f>IF(K32&lt;=1000,0,30)</f>
        <v/>
      </c>
      <c r="M32" s="13">
        <f>IF(G32&lt;1,0,25)</f>
        <v/>
      </c>
      <c r="N32" s="13" t="n">
        <v>0</v>
      </c>
      <c r="O32" s="13" t="n">
        <v>0</v>
      </c>
      <c r="P32" s="14">
        <f>J32+L32+M32+N32+O32</f>
        <v/>
      </c>
      <c r="Q32" s="15">
        <f>Q31+P32</f>
        <v/>
      </c>
    </row>
    <row r="33">
      <c r="A33" s="16" t="n">
        <v>32</v>
      </c>
      <c r="B33" s="16" t="n">
        <v>3</v>
      </c>
      <c r="C33" s="16" t="n">
        <v>100</v>
      </c>
      <c r="D33" s="17">
        <f>C33*4.33</f>
        <v/>
      </c>
      <c r="E33" s="17">
        <f>D33*2</f>
        <v/>
      </c>
      <c r="F33" s="18">
        <f>E33*350/1024/1024</f>
        <v/>
      </c>
      <c r="G33" s="18">
        <f>G32+F33</f>
        <v/>
      </c>
      <c r="H33" s="17">
        <f>D33*(2000+500)</f>
        <v/>
      </c>
      <c r="I33" s="17">
        <f>D33*(500+200)</f>
        <v/>
      </c>
      <c r="J33" s="19">
        <f>(H33/1000000*3)+(I33/1000000*15)</f>
        <v/>
      </c>
      <c r="K33" s="17">
        <f>D33*6</f>
        <v/>
      </c>
      <c r="L33" s="20">
        <f>IF(K33&lt;=1000,0,30)</f>
        <v/>
      </c>
      <c r="M33" s="20">
        <f>IF(G33&lt;1,0,25)</f>
        <v/>
      </c>
      <c r="N33" s="20" t="n">
        <v>0</v>
      </c>
      <c r="O33" s="20" t="n">
        <v>0</v>
      </c>
      <c r="P33" s="21">
        <f>J33+L33+M33+N33+O33</f>
        <v/>
      </c>
      <c r="Q33" s="22">
        <f>Q32+P33</f>
        <v/>
      </c>
    </row>
    <row r="34">
      <c r="A34" t="n">
        <v>33</v>
      </c>
      <c r="B34" t="n">
        <v>3</v>
      </c>
      <c r="C34" t="n">
        <v>100</v>
      </c>
      <c r="D34" s="10">
        <f>C34*4.33</f>
        <v/>
      </c>
      <c r="E34" s="10">
        <f>D34*2</f>
        <v/>
      </c>
      <c r="F34" s="11">
        <f>E34*350/1024/1024</f>
        <v/>
      </c>
      <c r="G34" s="11">
        <f>G33+F34</f>
        <v/>
      </c>
      <c r="H34" s="10">
        <f>D34*(2000+500)</f>
        <v/>
      </c>
      <c r="I34" s="10">
        <f>D34*(500+200)</f>
        <v/>
      </c>
      <c r="J34" s="12">
        <f>(H34/1000000*3)+(I34/1000000*15)</f>
        <v/>
      </c>
      <c r="K34" s="10">
        <f>D34*6</f>
        <v/>
      </c>
      <c r="L34" s="13">
        <f>IF(K34&lt;=1000,0,30)</f>
        <v/>
      </c>
      <c r="M34" s="13">
        <f>IF(G34&lt;1,0,25)</f>
        <v/>
      </c>
      <c r="N34" s="13" t="n">
        <v>0</v>
      </c>
      <c r="O34" s="13" t="n">
        <v>0</v>
      </c>
      <c r="P34" s="14">
        <f>J34+L34+M34+N34+O34</f>
        <v/>
      </c>
      <c r="Q34" s="15">
        <f>Q33+P34</f>
        <v/>
      </c>
    </row>
    <row r="35">
      <c r="A35" s="16" t="n">
        <v>34</v>
      </c>
      <c r="B35" s="16" t="n">
        <v>3</v>
      </c>
      <c r="C35" s="16" t="n">
        <v>100</v>
      </c>
      <c r="D35" s="17">
        <f>C35*4.33</f>
        <v/>
      </c>
      <c r="E35" s="17">
        <f>D35*2</f>
        <v/>
      </c>
      <c r="F35" s="18">
        <f>E35*350/1024/1024</f>
        <v/>
      </c>
      <c r="G35" s="18">
        <f>G34+F35</f>
        <v/>
      </c>
      <c r="H35" s="17">
        <f>D35*(2000+500)</f>
        <v/>
      </c>
      <c r="I35" s="17">
        <f>D35*(500+200)</f>
        <v/>
      </c>
      <c r="J35" s="19">
        <f>(H35/1000000*3)+(I35/1000000*15)</f>
        <v/>
      </c>
      <c r="K35" s="17">
        <f>D35*6</f>
        <v/>
      </c>
      <c r="L35" s="20">
        <f>IF(K35&lt;=1000,0,30)</f>
        <v/>
      </c>
      <c r="M35" s="20">
        <f>IF(G35&lt;1,0,25)</f>
        <v/>
      </c>
      <c r="N35" s="20" t="n">
        <v>0</v>
      </c>
      <c r="O35" s="20" t="n">
        <v>0</v>
      </c>
      <c r="P35" s="21">
        <f>J35+L35+M35+N35+O35</f>
        <v/>
      </c>
      <c r="Q35" s="22">
        <f>Q34+P35</f>
        <v/>
      </c>
    </row>
    <row r="36">
      <c r="A36" t="n">
        <v>35</v>
      </c>
      <c r="B36" t="n">
        <v>3</v>
      </c>
      <c r="C36" t="n">
        <v>100</v>
      </c>
      <c r="D36" s="10">
        <f>C36*4.33</f>
        <v/>
      </c>
      <c r="E36" s="10">
        <f>D36*2</f>
        <v/>
      </c>
      <c r="F36" s="11">
        <f>E36*350/1024/1024</f>
        <v/>
      </c>
      <c r="G36" s="11">
        <f>G35+F36</f>
        <v/>
      </c>
      <c r="H36" s="10">
        <f>D36*(2000+500)</f>
        <v/>
      </c>
      <c r="I36" s="10">
        <f>D36*(500+200)</f>
        <v/>
      </c>
      <c r="J36" s="12">
        <f>(H36/1000000*3)+(I36/1000000*15)</f>
        <v/>
      </c>
      <c r="K36" s="10">
        <f>D36*6</f>
        <v/>
      </c>
      <c r="L36" s="13">
        <f>IF(K36&lt;=1000,0,30)</f>
        <v/>
      </c>
      <c r="M36" s="13">
        <f>IF(G36&lt;1,0,25)</f>
        <v/>
      </c>
      <c r="N36" s="13" t="n">
        <v>0</v>
      </c>
      <c r="O36" s="13" t="n">
        <v>0</v>
      </c>
      <c r="P36" s="14">
        <f>J36+L36+M36+N36+O36</f>
        <v/>
      </c>
      <c r="Q36" s="15">
        <f>Q35+P36</f>
        <v/>
      </c>
    </row>
    <row r="37">
      <c r="A37" s="16" t="n">
        <v>36</v>
      </c>
      <c r="B37" s="16" t="n">
        <v>3</v>
      </c>
      <c r="C37" s="16" t="n">
        <v>100</v>
      </c>
      <c r="D37" s="17">
        <f>C37*4.33</f>
        <v/>
      </c>
      <c r="E37" s="17">
        <f>D37*2</f>
        <v/>
      </c>
      <c r="F37" s="18">
        <f>E37*350/1024/1024</f>
        <v/>
      </c>
      <c r="G37" s="18">
        <f>G36+F37</f>
        <v/>
      </c>
      <c r="H37" s="17">
        <f>D37*(2000+500)</f>
        <v/>
      </c>
      <c r="I37" s="17">
        <f>D37*(500+200)</f>
        <v/>
      </c>
      <c r="J37" s="19">
        <f>(H37/1000000*3)+(I37/1000000*15)</f>
        <v/>
      </c>
      <c r="K37" s="17">
        <f>D37*6</f>
        <v/>
      </c>
      <c r="L37" s="20">
        <f>IF(K37&lt;=1000,0,30)</f>
        <v/>
      </c>
      <c r="M37" s="20">
        <f>IF(G37&lt;1,0,25)</f>
        <v/>
      </c>
      <c r="N37" s="20" t="n">
        <v>0</v>
      </c>
      <c r="O37" s="20" t="n">
        <v>0</v>
      </c>
      <c r="P37" s="21">
        <f>J37+L37+M37+N37+O37</f>
        <v/>
      </c>
      <c r="Q37" s="22">
        <f>Q36+P37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PSP Property Management - Annual Cost Summary</t>
        </is>
      </c>
    </row>
    <row r="3">
      <c r="A3" s="9" t="inlineStr">
        <is>
          <t>Service</t>
        </is>
      </c>
      <c r="B3" s="9" t="inlineStr">
        <is>
          <t>Year 1</t>
        </is>
      </c>
      <c r="C3" s="9" t="inlineStr">
        <is>
          <t>Year 2</t>
        </is>
      </c>
      <c r="D3" s="9" t="inlineStr">
        <is>
          <t>Year 3</t>
        </is>
      </c>
      <c r="E3" s="9" t="inlineStr">
        <is>
          <t>3-Year Total</t>
        </is>
      </c>
      <c r="F3" s="9" t="inlineStr">
        <is>
          <t>% of Total</t>
        </is>
      </c>
    </row>
    <row r="4">
      <c r="A4" s="23" t="inlineStr">
        <is>
          <t>Claude API</t>
        </is>
      </c>
      <c r="B4" s="24">
        <f>SUM('Monthly Projections'!J2:J13)</f>
        <v/>
      </c>
      <c r="C4" s="24">
        <f>SUM('Monthly Projections'!J14:J25)</f>
        <v/>
      </c>
      <c r="D4" s="24">
        <f>SUM('Monthly Projections'!J26:J37)</f>
        <v/>
      </c>
      <c r="E4" s="25">
        <f>SUM(B4:D4)</f>
        <v/>
      </c>
      <c r="F4" s="26">
        <f>IF(E9=0,0,E4/E9)</f>
        <v/>
      </c>
    </row>
    <row r="5">
      <c r="A5" s="23" t="inlineStr">
        <is>
          <t>Tavily</t>
        </is>
      </c>
      <c r="B5" s="24">
        <f>SUM('Monthly Projections'!L2:L13)</f>
        <v/>
      </c>
      <c r="C5" s="24">
        <f>SUM('Monthly Projections'!L14:L25)</f>
        <v/>
      </c>
      <c r="D5" s="24">
        <f>SUM('Monthly Projections'!L26:L37)</f>
        <v/>
      </c>
      <c r="E5" s="25">
        <f>SUM(B5:D5)</f>
        <v/>
      </c>
      <c r="F5" s="26">
        <f>IF(E9=0,0,E5/E9)</f>
        <v/>
      </c>
    </row>
    <row r="6">
      <c r="A6" s="23" t="inlineStr">
        <is>
          <t>Supabase</t>
        </is>
      </c>
      <c r="B6" s="24">
        <f>SUM('Monthly Projections'!M2:M13)</f>
        <v/>
      </c>
      <c r="C6" s="24">
        <f>SUM('Monthly Projections'!M14:M25)</f>
        <v/>
      </c>
      <c r="D6" s="24">
        <f>SUM('Monthly Projections'!M26:M37)</f>
        <v/>
      </c>
      <c r="E6" s="25">
        <f>SUM(B6:D6)</f>
        <v/>
      </c>
      <c r="F6" s="26">
        <f>IF(E9=0,0,E6/E9)</f>
        <v/>
      </c>
    </row>
    <row r="7">
      <c r="A7" s="23" t="inlineStr">
        <is>
          <t>Streamlit Cloud</t>
        </is>
      </c>
      <c r="B7" s="24">
        <f>SUM('Monthly Projections'!N2:N13)</f>
        <v/>
      </c>
      <c r="C7" s="24">
        <f>SUM('Monthly Projections'!N14:N25)</f>
        <v/>
      </c>
      <c r="D7" s="24">
        <f>SUM('Monthly Projections'!N26:N37)</f>
        <v/>
      </c>
      <c r="E7" s="25">
        <f>SUM(B7:D7)</f>
        <v/>
      </c>
      <c r="F7" s="26">
        <f>IF(E9=0,0,E7/E9)</f>
        <v/>
      </c>
    </row>
    <row r="8">
      <c r="A8" s="23" t="inlineStr">
        <is>
          <t>GitHub</t>
        </is>
      </c>
      <c r="B8" s="24">
        <f>SUM('Monthly Projections'!O2:O13)</f>
        <v/>
      </c>
      <c r="C8" s="24">
        <f>SUM('Monthly Projections'!O14:O25)</f>
        <v/>
      </c>
      <c r="D8" s="24">
        <f>SUM('Monthly Projections'!O26:O37)</f>
        <v/>
      </c>
      <c r="E8" s="25">
        <f>SUM(B8:D8)</f>
        <v/>
      </c>
      <c r="F8" s="26">
        <f>IF(E9=0,0,E8/E9)</f>
        <v/>
      </c>
    </row>
    <row r="9">
      <c r="A9" s="27" t="inlineStr">
        <is>
          <t>TOTAL</t>
        </is>
      </c>
      <c r="B9" s="28">
        <f>SUM(B4:B8)</f>
        <v/>
      </c>
      <c r="C9" s="28">
        <f>SUM(C4:C8)</f>
        <v/>
      </c>
      <c r="D9" s="28">
        <f>SUM(D4:D8)</f>
        <v/>
      </c>
      <c r="E9" s="28">
        <f>SUM(E4:E8)</f>
        <v/>
      </c>
      <c r="F9" s="29" t="n">
        <v>1</v>
      </c>
    </row>
    <row r="11">
      <c r="A11" s="3" t="inlineStr">
        <is>
          <t>Avg Monthly Cost - Year 1</t>
        </is>
      </c>
      <c r="B11" s="14">
        <f>B9/12</f>
        <v/>
      </c>
    </row>
    <row r="12">
      <c r="A12" s="3" t="inlineStr">
        <is>
          <t>Avg Monthly Cost - Year 2</t>
        </is>
      </c>
      <c r="B12" s="14">
        <f>C9/12</f>
        <v/>
      </c>
    </row>
    <row r="13">
      <c r="A13" s="3" t="inlineStr">
        <is>
          <t>Avg Monthly Cost - Year 3</t>
        </is>
      </c>
      <c r="B13" s="14">
        <f>D9/12</f>
        <v/>
      </c>
    </row>
    <row r="14">
      <c r="A14" s="3" t="inlineStr">
        <is>
          <t>Cost per Ticket - Year 1</t>
        </is>
      </c>
      <c r="B14" s="14">
        <f>IF(Assumptions!B4*52=0,0,B9/(Assumptions!B4*52))</f>
        <v/>
      </c>
    </row>
    <row r="15">
      <c r="A15" s="3" t="inlineStr">
        <is>
          <t>Cost per Ticket - Year 2</t>
        </is>
      </c>
      <c r="B15" s="14">
        <f>IF(Assumptions!B5*52=0,0,C9/(Assumptions!B5*52))</f>
        <v/>
      </c>
    </row>
    <row r="16">
      <c r="A16" s="3" t="inlineStr">
        <is>
          <t>Cost per Ticket - Year 3</t>
        </is>
      </c>
      <c r="B16" s="14">
        <f>IF(Assumptions!B6*52=0,0,D9/(Assumptions!B6*52))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PSP Property Management - Break-Even &amp; ROI</t>
        </is>
      </c>
    </row>
    <row r="3">
      <c r="A3" s="2" t="inlineStr">
        <is>
          <t>COSTS WITHOUT THE APP</t>
        </is>
      </c>
    </row>
    <row r="4">
      <c r="A4" s="9" t="inlineStr"/>
      <c r="B4" s="9" t="inlineStr">
        <is>
          <t>Year 1</t>
        </is>
      </c>
      <c r="C4" s="9" t="inlineStr">
        <is>
          <t>Year 2</t>
        </is>
      </c>
      <c r="D4" s="9" t="inlineStr">
        <is>
          <t>Year 3</t>
        </is>
      </c>
    </row>
    <row r="5">
      <c r="A5" s="3" t="inlineStr">
        <is>
          <t>Property Manager salary</t>
        </is>
      </c>
      <c r="B5" s="7" t="n">
        <v>65000</v>
      </c>
      <c r="C5" s="7" t="n">
        <v>67000</v>
      </c>
      <c r="D5" s="7" t="n">
        <v>69000</v>
      </c>
    </row>
    <row r="6">
      <c r="A6" s="3" t="inlineStr">
        <is>
          <t>Missed warranty claims (est.)</t>
        </is>
      </c>
      <c r="B6" s="7" t="n">
        <v>5000</v>
      </c>
      <c r="C6" s="7" t="n">
        <v>15000</v>
      </c>
      <c r="D6" s="7" t="n">
        <v>25000</v>
      </c>
    </row>
    <row r="7">
      <c r="A7" s="3" t="inlineStr">
        <is>
          <t>Inefficient contractor selection (est.)</t>
        </is>
      </c>
      <c r="B7" s="7" t="n">
        <v>3000</v>
      </c>
      <c r="C7" s="7" t="n">
        <v>10000</v>
      </c>
      <c r="D7" s="7" t="n">
        <v>15000</v>
      </c>
    </row>
    <row r="8">
      <c r="A8" s="30" t="inlineStr">
        <is>
          <t>Total Hidden Costs</t>
        </is>
      </c>
      <c r="B8" s="15">
        <f>SUM(B5:B7)</f>
        <v/>
      </c>
      <c r="C8" s="15">
        <f>SUM(C5:C7)</f>
        <v/>
      </c>
      <c r="D8" s="15">
        <f>SUM(D5:D7)</f>
        <v/>
      </c>
    </row>
    <row r="10">
      <c r="A10" s="2" t="inlineStr">
        <is>
          <t>APP INFRASTRUCTURE COST</t>
        </is>
      </c>
    </row>
    <row r="11">
      <c r="A11" s="3" t="inlineStr">
        <is>
          <t>Annual app cost</t>
        </is>
      </c>
      <c r="B11" s="31">
        <f>'Annual Summary'!B9</f>
        <v/>
      </c>
      <c r="C11" s="31">
        <f>'Annual Summary'!C9</f>
        <v/>
      </c>
      <c r="D11" s="31">
        <f>'Annual Summary'!D9</f>
        <v/>
      </c>
    </row>
    <row r="13">
      <c r="A13" s="2" t="inlineStr">
        <is>
          <t>SAVINGS WITH THE APP</t>
        </is>
      </c>
    </row>
    <row r="14">
      <c r="A14" s="9" t="inlineStr"/>
      <c r="B14" s="9" t="inlineStr">
        <is>
          <t>Year 1</t>
        </is>
      </c>
      <c r="C14" s="9" t="inlineStr">
        <is>
          <t>Year 2</t>
        </is>
      </c>
      <c r="D14" s="9" t="inlineStr">
        <is>
          <t>Year 3</t>
        </is>
      </c>
    </row>
    <row r="15">
      <c r="A15" s="3" t="inlineStr">
        <is>
          <t>PM Time Saved (50%)</t>
        </is>
      </c>
      <c r="B15" s="13">
        <f>B5*0.5</f>
        <v/>
      </c>
      <c r="C15" s="13">
        <f>C5*0.5</f>
        <v/>
      </c>
      <c r="D15" s="13">
        <f>D5*0.5</f>
        <v/>
      </c>
    </row>
    <row r="16">
      <c r="A16" s="3" t="inlineStr">
        <is>
          <t>Warranty Claims Caught</t>
        </is>
      </c>
      <c r="B16" s="13">
        <f>B6</f>
        <v/>
      </c>
      <c r="C16" s="13">
        <f>C6</f>
        <v/>
      </c>
      <c r="D16" s="13">
        <f>D6</f>
        <v/>
      </c>
    </row>
    <row r="17">
      <c r="A17" s="3" t="inlineStr">
        <is>
          <t>Contractor Optimization</t>
        </is>
      </c>
      <c r="B17" s="13">
        <f>B7</f>
        <v/>
      </c>
      <c r="C17" s="13">
        <f>C7</f>
        <v/>
      </c>
      <c r="D17" s="13">
        <f>D7</f>
        <v/>
      </c>
    </row>
    <row r="18">
      <c r="A18" s="30" t="inlineStr">
        <is>
          <t>Total Savings</t>
        </is>
      </c>
      <c r="B18" s="32">
        <f>SUM(B15:B17)</f>
        <v/>
      </c>
      <c r="C18" s="32">
        <f>SUM(C15:C17)</f>
        <v/>
      </c>
      <c r="D18" s="32">
        <f>SUM(D15:D17)</f>
        <v/>
      </c>
    </row>
    <row r="19">
      <c r="A19" s="3" t="inlineStr">
        <is>
          <t>Less: App Cost</t>
        </is>
      </c>
      <c r="B19" s="33">
        <f>-B11</f>
        <v/>
      </c>
      <c r="C19" s="33">
        <f>-C11</f>
        <v/>
      </c>
      <c r="D19" s="33">
        <f>-D11</f>
        <v/>
      </c>
    </row>
    <row r="20">
      <c r="A20" s="34" t="inlineStr">
        <is>
          <t>NET ANNUAL BENEFIT</t>
        </is>
      </c>
      <c r="B20" s="35">
        <f>B18+B19</f>
        <v/>
      </c>
      <c r="C20" s="35">
        <f>C18+C19</f>
        <v/>
      </c>
      <c r="D20" s="35">
        <f>D18+D19</f>
        <v/>
      </c>
    </row>
    <row r="21">
      <c r="A21" s="30" t="inlineStr">
        <is>
          <t>ROI (Savings / Cost)</t>
        </is>
      </c>
      <c r="B21" s="36">
        <f>IF(B11=0,0,B18/B11)</f>
        <v/>
      </c>
      <c r="C21" s="36">
        <f>IF(C11=0,0,C18/C11)</f>
        <v/>
      </c>
      <c r="D21" s="36">
        <f>IF(D11=0,0,D18/D11)</f>
        <v/>
      </c>
    </row>
    <row r="23">
      <c r="A23" s="2" t="inlineStr">
        <is>
          <t>BOTTOM LINE</t>
        </is>
      </c>
    </row>
    <row r="24">
      <c r="A24" s="3" t="inlineStr">
        <is>
          <t>Infrastructure costs are minimal (&lt;$1/ticket). The app pays for</t>
        </is>
      </c>
    </row>
    <row r="25">
      <c r="A25" s="3" t="inlineStr">
        <is>
          <t>itself through warranty catch, contractor optimization, and PM</t>
        </is>
      </c>
    </row>
    <row r="26">
      <c r="A26" s="3" t="inlineStr">
        <is>
          <t>time savings. ROI improves as ticket volume grows.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2026-03-28T19:19:35Z</dcterms:created>
  <dcterms:modified xsi:type="dcterms:W3CDTF">2026-03-28T19:19:35Z</dcterms:modified>
</cp:coreProperties>
</file>